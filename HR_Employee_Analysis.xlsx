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05C1FBDB-6298-48B4-9BBD-87A8D919E498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Dataset" sheetId="1" r:id="rId1"/>
    <sheet name="Lookup Example" sheetId="2" r:id="rId2"/>
    <sheet name="Pivot &amp; Analysis" sheetId="3" r:id="rId3"/>
    <sheet name="Sheet1" sheetId="4" r:id="rId4"/>
    <sheet name="Sheet3" sheetId="6" r:id="rId5"/>
    <sheet name="Sheet2" sheetId="5" r:id="rId6"/>
  </sheets>
  <calcPr calcId="191029"/>
  <pivotCaches>
    <pivotCache cacheId="18" r:id="rId7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6" l="1"/>
  <c r="C3" i="6"/>
  <c r="C2" i="6"/>
  <c r="E5" i="4"/>
  <c r="C44" i="2"/>
  <c r="C45" i="2"/>
  <c r="C43" i="2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2" i="2"/>
  <c r="B44" i="2"/>
  <c r="B45" i="2"/>
  <c r="B43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25" i="2"/>
  <c r="B26" i="2"/>
  <c r="B27" i="2"/>
  <c r="B28" i="2"/>
  <c r="B29" i="2"/>
  <c r="B30" i="2"/>
  <c r="B31" i="2"/>
  <c r="B32" i="2"/>
  <c r="B33" i="2"/>
  <c r="B34" i="2"/>
  <c r="B35" i="2"/>
  <c r="B36" i="2"/>
  <c r="B37" i="2"/>
  <c r="B38" i="2"/>
  <c r="B39" i="2"/>
  <c r="B40" i="2"/>
  <c r="B41" i="2"/>
  <c r="B42" i="2"/>
  <c r="B2" i="2"/>
</calcChain>
</file>

<file path=xl/sharedStrings.xml><?xml version="1.0" encoding="utf-8"?>
<sst xmlns="http://schemas.openxmlformats.org/spreadsheetml/2006/main" count="228" uniqueCount="132">
  <si>
    <t>Employee_ID</t>
  </si>
  <si>
    <t>Name</t>
  </si>
  <si>
    <t>Department</t>
  </si>
  <si>
    <t>Years_Experience</t>
  </si>
  <si>
    <t>Salary</t>
  </si>
  <si>
    <t>EMP1000</t>
  </si>
  <si>
    <t>Employee 1</t>
  </si>
  <si>
    <t>HR</t>
  </si>
  <si>
    <t>EMP1001</t>
  </si>
  <si>
    <t>Employee 2</t>
  </si>
  <si>
    <t>Finance</t>
  </si>
  <si>
    <t>EMP1002</t>
  </si>
  <si>
    <t>Employee 3</t>
  </si>
  <si>
    <t>IT</t>
  </si>
  <si>
    <t>EMP1003</t>
  </si>
  <si>
    <t>Employee 4</t>
  </si>
  <si>
    <t>EMP1004</t>
  </si>
  <si>
    <t>Employee 5</t>
  </si>
  <si>
    <t>EMP1005</t>
  </si>
  <si>
    <t>Employee 6</t>
  </si>
  <si>
    <t>Marketing</t>
  </si>
  <si>
    <t>EMP1006</t>
  </si>
  <si>
    <t>Employee 7</t>
  </si>
  <si>
    <t>EMP1007</t>
  </si>
  <si>
    <t>Employee 8</t>
  </si>
  <si>
    <t>EMP1008</t>
  </si>
  <si>
    <t>Employee 9</t>
  </si>
  <si>
    <t>EMP1009</t>
  </si>
  <si>
    <t>Employee 10</t>
  </si>
  <si>
    <t>EMP1010</t>
  </si>
  <si>
    <t>Employee 11</t>
  </si>
  <si>
    <t>EMP1011</t>
  </si>
  <si>
    <t>Employee 12</t>
  </si>
  <si>
    <t>EMP1012</t>
  </si>
  <si>
    <t>Employee 13</t>
  </si>
  <si>
    <t>EMP1013</t>
  </si>
  <si>
    <t>Employee 14</t>
  </si>
  <si>
    <t>EMP1014</t>
  </si>
  <si>
    <t>Employee 15</t>
  </si>
  <si>
    <t>EMP1015</t>
  </si>
  <si>
    <t>Employee 16</t>
  </si>
  <si>
    <t>EMP1016</t>
  </si>
  <si>
    <t>Employee 17</t>
  </si>
  <si>
    <t>EMP1017</t>
  </si>
  <si>
    <t>Employee 18</t>
  </si>
  <si>
    <t>EMP1018</t>
  </si>
  <si>
    <t>Employee 19</t>
  </si>
  <si>
    <t>Sales</t>
  </si>
  <si>
    <t>EMP1019</t>
  </si>
  <si>
    <t>Employee 20</t>
  </si>
  <si>
    <t>EMP1020</t>
  </si>
  <si>
    <t>Employee 21</t>
  </si>
  <si>
    <t>EMP1021</t>
  </si>
  <si>
    <t>Employee 22</t>
  </si>
  <si>
    <t>EMP1022</t>
  </si>
  <si>
    <t>Employee 23</t>
  </si>
  <si>
    <t>EMP1023</t>
  </si>
  <si>
    <t>Employee 24</t>
  </si>
  <si>
    <t>EMP1024</t>
  </si>
  <si>
    <t>Employee 25</t>
  </si>
  <si>
    <t>EMP1025</t>
  </si>
  <si>
    <t>Employee 26</t>
  </si>
  <si>
    <t>EMP1026</t>
  </si>
  <si>
    <t>Employee 27</t>
  </si>
  <si>
    <t>EMP1027</t>
  </si>
  <si>
    <t>Employee 28</t>
  </si>
  <si>
    <t>EMP1028</t>
  </si>
  <si>
    <t>Employee 29</t>
  </si>
  <si>
    <t>EMP1029</t>
  </si>
  <si>
    <t>Employee 30</t>
  </si>
  <si>
    <t>EMP1030</t>
  </si>
  <si>
    <t>Employee 31</t>
  </si>
  <si>
    <t>EMP1031</t>
  </si>
  <si>
    <t>Employee 32</t>
  </si>
  <si>
    <t>EMP1032</t>
  </si>
  <si>
    <t>Employee 33</t>
  </si>
  <si>
    <t>EMP1033</t>
  </si>
  <si>
    <t>Employee 34</t>
  </si>
  <si>
    <t>EMP1034</t>
  </si>
  <si>
    <t>Employee 35</t>
  </si>
  <si>
    <t>EMP1035</t>
  </si>
  <si>
    <t>Employee 36</t>
  </si>
  <si>
    <t>EMP1036</t>
  </si>
  <si>
    <t>Employee 37</t>
  </si>
  <si>
    <t>EMP1037</t>
  </si>
  <si>
    <t>Employee 38</t>
  </si>
  <si>
    <t>EMP1038</t>
  </si>
  <si>
    <t>Employee 39</t>
  </si>
  <si>
    <t>EMP1039</t>
  </si>
  <si>
    <t>Employee 40</t>
  </si>
  <si>
    <t>EMP1040</t>
  </si>
  <si>
    <t>Employee 41</t>
  </si>
  <si>
    <t>EMP1041</t>
  </si>
  <si>
    <t>Employee 42</t>
  </si>
  <si>
    <t>EMP1042</t>
  </si>
  <si>
    <t>Employee 43</t>
  </si>
  <si>
    <t>EMP1043</t>
  </si>
  <si>
    <t>Employee 44</t>
  </si>
  <si>
    <t>EMP1044</t>
  </si>
  <si>
    <t>Employee 45</t>
  </si>
  <si>
    <t>EMP1045</t>
  </si>
  <si>
    <t>Employee 46</t>
  </si>
  <si>
    <t>EMP1046</t>
  </si>
  <si>
    <t>Employee 47</t>
  </si>
  <si>
    <t>EMP1047</t>
  </si>
  <si>
    <t>Employee 48</t>
  </si>
  <si>
    <t>EMP1048</t>
  </si>
  <si>
    <t>Employee 49</t>
  </si>
  <si>
    <t>EMP1049</t>
  </si>
  <si>
    <t>Employee 50</t>
  </si>
  <si>
    <t>Enter Employee ID</t>
  </si>
  <si>
    <t>Result Name (XLOOKUP)</t>
  </si>
  <si>
    <t>Result Salary (VLOOKUP)</t>
  </si>
  <si>
    <t xml:space="preserve">Department wise salary data well formated and styled </t>
  </si>
  <si>
    <t>Grand Total</t>
  </si>
  <si>
    <t>Sum of Salary</t>
  </si>
  <si>
    <t xml:space="preserve">Corelation between </t>
  </si>
  <si>
    <t>Corelation between Experience and salary</t>
  </si>
  <si>
    <t>Experience Years</t>
  </si>
  <si>
    <t>Corelation</t>
  </si>
  <si>
    <t>My Final Report</t>
  </si>
  <si>
    <t>Name - Sunil Kumar</t>
  </si>
  <si>
    <t>Learned -  1.  How to Create a Pivot Table</t>
  </si>
  <si>
    <t xml:space="preserve">                      2. Using Xlookup and Vlookup Formula</t>
  </si>
  <si>
    <t xml:space="preserve">                      3. Finding Corelation Between two data sets</t>
  </si>
  <si>
    <t xml:space="preserve">                           </t>
  </si>
  <si>
    <t>Total Employee</t>
  </si>
  <si>
    <t>Average Salary</t>
  </si>
  <si>
    <t>Average Experience</t>
  </si>
  <si>
    <t>Overall Statistics</t>
  </si>
  <si>
    <t>Top 10 Salary</t>
  </si>
  <si>
    <t>Salary Insights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</si>
</sst>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₹&quot;\ #,##0.00;[Red]&quot;₹&quot;\ \-#,##0.00"/>
  </numFmts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0" xfId="0" applyFont="1" applyFill="1" applyAlignment="1">
      <alignment horizontal="center"/>
    </xf>
    <xf numFmtId="0" fontId="0" fillId="0" borderId="1" xfId="0" applyBorder="1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8" fontId="0" fillId="0" borderId="1" xfId="0" applyNumberFormat="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3" fillId="3" borderId="0" xfId="0" applyFont="1" applyFill="1" applyAlignment="1">
      <alignment horizontal="center"/>
    </xf>
    <xf numFmtId="0" fontId="0" fillId="4" borderId="0" xfId="0" applyFill="1" applyAlignment="1"/>
    <xf numFmtId="0" fontId="0" fillId="4" borderId="0" xfId="0" applyFill="1"/>
    <xf numFmtId="0" fontId="2" fillId="0" borderId="0" xfId="0" applyFont="1"/>
    <xf numFmtId="0" fontId="4" fillId="0" borderId="0" xfId="0" applyFont="1" applyAlignment="1"/>
    <xf numFmtId="0" fontId="4" fillId="5" borderId="0" xfId="0" applyFont="1" applyFill="1" applyAlignment="1">
      <alignment horizontal="center"/>
    </xf>
    <xf numFmtId="0" fontId="0" fillId="6" borderId="0" xfId="0" applyFill="1"/>
    <xf numFmtId="0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IN" sz="1600" b="1">
                <a:solidFill>
                  <a:schemeClr val="tx1"/>
                </a:solidFill>
              </a:rPr>
              <a:t>Corelation</a:t>
            </a:r>
            <a:r>
              <a:rPr lang="en-IN" sz="1600" b="1" baseline="0">
                <a:solidFill>
                  <a:schemeClr val="tx1"/>
                </a:solidFill>
              </a:rPr>
              <a:t> Between Experience and Salary</a:t>
            </a:r>
            <a:endParaRPr lang="en-IN" sz="1600" b="1">
              <a:solidFill>
                <a:schemeClr val="tx1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Sheet1!$B$5:$B$54</c:f>
              <c:numCache>
                <c:formatCode>General</c:formatCode>
                <c:ptCount val="50"/>
                <c:pt idx="0">
                  <c:v>15</c:v>
                </c:pt>
                <c:pt idx="1">
                  <c:v>7</c:v>
                </c:pt>
                <c:pt idx="2">
                  <c:v>12</c:v>
                </c:pt>
                <c:pt idx="3">
                  <c:v>8</c:v>
                </c:pt>
                <c:pt idx="4">
                  <c:v>15</c:v>
                </c:pt>
                <c:pt idx="5">
                  <c:v>3</c:v>
                </c:pt>
                <c:pt idx="6">
                  <c:v>14</c:v>
                </c:pt>
                <c:pt idx="7">
                  <c:v>17</c:v>
                </c:pt>
                <c:pt idx="8">
                  <c:v>4</c:v>
                </c:pt>
                <c:pt idx="9">
                  <c:v>18</c:v>
                </c:pt>
                <c:pt idx="10">
                  <c:v>8</c:v>
                </c:pt>
                <c:pt idx="11">
                  <c:v>4</c:v>
                </c:pt>
                <c:pt idx="12">
                  <c:v>2</c:v>
                </c:pt>
                <c:pt idx="13">
                  <c:v>6</c:v>
                </c:pt>
                <c:pt idx="14">
                  <c:v>22</c:v>
                </c:pt>
                <c:pt idx="15">
                  <c:v>10</c:v>
                </c:pt>
                <c:pt idx="16">
                  <c:v>4</c:v>
                </c:pt>
                <c:pt idx="17">
                  <c:v>22</c:v>
                </c:pt>
                <c:pt idx="18">
                  <c:v>18</c:v>
                </c:pt>
                <c:pt idx="19">
                  <c:v>12</c:v>
                </c:pt>
                <c:pt idx="20">
                  <c:v>2</c:v>
                </c:pt>
                <c:pt idx="21">
                  <c:v>10</c:v>
                </c:pt>
                <c:pt idx="22">
                  <c:v>4</c:v>
                </c:pt>
                <c:pt idx="23">
                  <c:v>14</c:v>
                </c:pt>
                <c:pt idx="24">
                  <c:v>16</c:v>
                </c:pt>
                <c:pt idx="25">
                  <c:v>15</c:v>
                </c:pt>
                <c:pt idx="26">
                  <c:v>8</c:v>
                </c:pt>
                <c:pt idx="27">
                  <c:v>14</c:v>
                </c:pt>
                <c:pt idx="28">
                  <c:v>23</c:v>
                </c:pt>
                <c:pt idx="29">
                  <c:v>8</c:v>
                </c:pt>
                <c:pt idx="30">
                  <c:v>21</c:v>
                </c:pt>
                <c:pt idx="31">
                  <c:v>16</c:v>
                </c:pt>
                <c:pt idx="32">
                  <c:v>13</c:v>
                </c:pt>
                <c:pt idx="33">
                  <c:v>18</c:v>
                </c:pt>
                <c:pt idx="34">
                  <c:v>15</c:v>
                </c:pt>
                <c:pt idx="35">
                  <c:v>21</c:v>
                </c:pt>
                <c:pt idx="36">
                  <c:v>24</c:v>
                </c:pt>
                <c:pt idx="37">
                  <c:v>13</c:v>
                </c:pt>
                <c:pt idx="38">
                  <c:v>9</c:v>
                </c:pt>
                <c:pt idx="39">
                  <c:v>15</c:v>
                </c:pt>
                <c:pt idx="40">
                  <c:v>13</c:v>
                </c:pt>
                <c:pt idx="41">
                  <c:v>1</c:v>
                </c:pt>
                <c:pt idx="42">
                  <c:v>7</c:v>
                </c:pt>
                <c:pt idx="43">
                  <c:v>9</c:v>
                </c:pt>
                <c:pt idx="44">
                  <c:v>24</c:v>
                </c:pt>
                <c:pt idx="45">
                  <c:v>1</c:v>
                </c:pt>
                <c:pt idx="46">
                  <c:v>12</c:v>
                </c:pt>
                <c:pt idx="47">
                  <c:v>8</c:v>
                </c:pt>
                <c:pt idx="48">
                  <c:v>24</c:v>
                </c:pt>
                <c:pt idx="49">
                  <c:v>11</c:v>
                </c:pt>
              </c:numCache>
            </c:numRef>
          </c:xVal>
          <c:yVal>
            <c:numRef>
              <c:f>Sheet1!$C$5:$C$54</c:f>
              <c:numCache>
                <c:formatCode>"₹"#,##0.00_);[Red]\("₹"#,##0.00\)</c:formatCode>
                <c:ptCount val="50"/>
                <c:pt idx="0">
                  <c:v>85681.53</c:v>
                </c:pt>
                <c:pt idx="1">
                  <c:v>49966.400000000001</c:v>
                </c:pt>
                <c:pt idx="2">
                  <c:v>74380.210000000006</c:v>
                </c:pt>
                <c:pt idx="3">
                  <c:v>64518.31</c:v>
                </c:pt>
                <c:pt idx="4">
                  <c:v>83557.94</c:v>
                </c:pt>
                <c:pt idx="5">
                  <c:v>43485.22</c:v>
                </c:pt>
                <c:pt idx="6">
                  <c:v>74518.320000000007</c:v>
                </c:pt>
                <c:pt idx="7">
                  <c:v>88940.06</c:v>
                </c:pt>
                <c:pt idx="8">
                  <c:v>51344.71</c:v>
                </c:pt>
                <c:pt idx="9">
                  <c:v>87380.51</c:v>
                </c:pt>
                <c:pt idx="10">
                  <c:v>62750.03</c:v>
                </c:pt>
                <c:pt idx="11">
                  <c:v>52632.58</c:v>
                </c:pt>
                <c:pt idx="12">
                  <c:v>39289.43</c:v>
                </c:pt>
                <c:pt idx="13">
                  <c:v>42578.559999999998</c:v>
                </c:pt>
                <c:pt idx="14">
                  <c:v>108634.23</c:v>
                </c:pt>
                <c:pt idx="15">
                  <c:v>64594.41</c:v>
                </c:pt>
                <c:pt idx="16">
                  <c:v>46338.97</c:v>
                </c:pt>
                <c:pt idx="17">
                  <c:v>110680.61</c:v>
                </c:pt>
                <c:pt idx="18">
                  <c:v>89101.49</c:v>
                </c:pt>
                <c:pt idx="19">
                  <c:v>67780.52</c:v>
                </c:pt>
                <c:pt idx="20">
                  <c:v>36247.33</c:v>
                </c:pt>
                <c:pt idx="21">
                  <c:v>60172.21</c:v>
                </c:pt>
                <c:pt idx="22">
                  <c:v>44752.45</c:v>
                </c:pt>
                <c:pt idx="23">
                  <c:v>78432.89</c:v>
                </c:pt>
                <c:pt idx="24">
                  <c:v>99167.64</c:v>
                </c:pt>
                <c:pt idx="25">
                  <c:v>77374.55</c:v>
                </c:pt>
                <c:pt idx="26">
                  <c:v>54089.760000000002</c:v>
                </c:pt>
                <c:pt idx="27">
                  <c:v>81119.72</c:v>
                </c:pt>
                <c:pt idx="28">
                  <c:v>114863.53</c:v>
                </c:pt>
                <c:pt idx="29">
                  <c:v>69436.13</c:v>
                </c:pt>
                <c:pt idx="30">
                  <c:v>111614.6</c:v>
                </c:pt>
                <c:pt idx="31">
                  <c:v>90118.67</c:v>
                </c:pt>
                <c:pt idx="32">
                  <c:v>76965.3</c:v>
                </c:pt>
                <c:pt idx="33">
                  <c:v>97483.15</c:v>
                </c:pt>
                <c:pt idx="34">
                  <c:v>79448.39</c:v>
                </c:pt>
                <c:pt idx="35">
                  <c:v>101919.17</c:v>
                </c:pt>
                <c:pt idx="36">
                  <c:v>106587.88</c:v>
                </c:pt>
                <c:pt idx="37">
                  <c:v>74355.759999999995</c:v>
                </c:pt>
                <c:pt idx="38">
                  <c:v>66313.210000000006</c:v>
                </c:pt>
                <c:pt idx="39">
                  <c:v>81451.539999999994</c:v>
                </c:pt>
                <c:pt idx="40">
                  <c:v>71629.789999999994</c:v>
                </c:pt>
                <c:pt idx="41">
                  <c:v>31701.11</c:v>
                </c:pt>
                <c:pt idx="42">
                  <c:v>58120.42</c:v>
                </c:pt>
                <c:pt idx="43">
                  <c:v>60221.18</c:v>
                </c:pt>
                <c:pt idx="44">
                  <c:v>118249.61</c:v>
                </c:pt>
                <c:pt idx="45">
                  <c:v>26943.38</c:v>
                </c:pt>
                <c:pt idx="46">
                  <c:v>67648.479999999996</c:v>
                </c:pt>
                <c:pt idx="47">
                  <c:v>55466.78</c:v>
                </c:pt>
                <c:pt idx="48">
                  <c:v>107450.25</c:v>
                </c:pt>
                <c:pt idx="49">
                  <c:v>83218.320000000007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967-4C49-9DFA-CAC20596DE7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79032736"/>
        <c:axId val="2079030656"/>
      </c:scatterChart>
      <c:valAx>
        <c:axId val="207903273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30656"/>
        <c:crosses val="autoZero"/>
        <c:crossBetween val="midCat"/>
      </c:valAx>
      <c:valAx>
        <c:axId val="207903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₹&quot;#,##0.00_);[Red]\(&quot;₹&quot;#,##0.00\)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7903273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5</xdr:row>
      <xdr:rowOff>0</xdr:rowOff>
    </xdr:from>
    <xdr:to>
      <xdr:col>13</xdr:col>
      <xdr:colOff>304800</xdr:colOff>
      <xdr:row>19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20AB1FE-E8DD-4BE5-ABC4-AFF9FD7CBD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118.730511111113" createdVersion="7" refreshedVersion="7" minRefreshableVersion="3" recordCount="50" xr:uid="{8D8A039A-F665-40CE-BFF7-187878D5726D}">
  <cacheSource type="worksheet">
    <worksheetSource ref="A1:E51" sheet="Dataset"/>
  </cacheSource>
  <cacheFields count="5">
    <cacheField name="Employee_ID" numFmtId="0">
      <sharedItems/>
    </cacheField>
    <cacheField name="Name" numFmtId="0">
      <sharedItems/>
    </cacheField>
    <cacheField name="Department" numFmtId="0">
      <sharedItems count="5">
        <s v="HR"/>
        <s v="Finance"/>
        <s v="IT"/>
        <s v="Marketing"/>
        <s v="Sales"/>
      </sharedItems>
    </cacheField>
    <cacheField name="Years_Experience" numFmtId="0">
      <sharedItems containsSemiMixedTypes="0" containsString="0" containsNumber="1" containsInteger="1" minValue="1" maxValue="24"/>
    </cacheField>
    <cacheField name="Salary" numFmtId="8">
      <sharedItems containsSemiMixedTypes="0" containsString="0" containsNumber="1" minValue="26943.38" maxValue="118249.6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">
  <r>
    <s v="EMP1000"/>
    <s v="Employee 1"/>
    <x v="0"/>
    <n v="15"/>
    <n v="85681.53"/>
  </r>
  <r>
    <s v="EMP1001"/>
    <s v="Employee 2"/>
    <x v="1"/>
    <n v="7"/>
    <n v="49966.400000000001"/>
  </r>
  <r>
    <s v="EMP1002"/>
    <s v="Employee 3"/>
    <x v="2"/>
    <n v="12"/>
    <n v="74380.210000000006"/>
  </r>
  <r>
    <s v="EMP1003"/>
    <s v="Employee 4"/>
    <x v="1"/>
    <n v="8"/>
    <n v="64518.31"/>
  </r>
  <r>
    <s v="EMP1004"/>
    <s v="Employee 5"/>
    <x v="1"/>
    <n v="15"/>
    <n v="83557.94"/>
  </r>
  <r>
    <s v="EMP1005"/>
    <s v="Employee 6"/>
    <x v="3"/>
    <n v="3"/>
    <n v="43485.22"/>
  </r>
  <r>
    <s v="EMP1006"/>
    <s v="Employee 7"/>
    <x v="2"/>
    <n v="14"/>
    <n v="74518.320000000007"/>
  </r>
  <r>
    <s v="EMP1007"/>
    <s v="Employee 8"/>
    <x v="2"/>
    <n v="17"/>
    <n v="88940.06"/>
  </r>
  <r>
    <s v="EMP1008"/>
    <s v="Employee 9"/>
    <x v="2"/>
    <n v="4"/>
    <n v="51344.71"/>
  </r>
  <r>
    <s v="EMP1009"/>
    <s v="Employee 10"/>
    <x v="1"/>
    <n v="18"/>
    <n v="87380.51"/>
  </r>
  <r>
    <s v="EMP1010"/>
    <s v="Employee 11"/>
    <x v="0"/>
    <n v="8"/>
    <n v="62750.03"/>
  </r>
  <r>
    <s v="EMP1011"/>
    <s v="Employee 12"/>
    <x v="2"/>
    <n v="4"/>
    <n v="52632.58"/>
  </r>
  <r>
    <s v="EMP1012"/>
    <s v="Employee 13"/>
    <x v="1"/>
    <n v="2"/>
    <n v="39289.43"/>
  </r>
  <r>
    <s v="EMP1013"/>
    <s v="Employee 14"/>
    <x v="3"/>
    <n v="6"/>
    <n v="42578.559999999998"/>
  </r>
  <r>
    <s v="EMP1014"/>
    <s v="Employee 15"/>
    <x v="0"/>
    <n v="22"/>
    <n v="108634.23"/>
  </r>
  <r>
    <s v="EMP1015"/>
    <s v="Employee 16"/>
    <x v="3"/>
    <n v="10"/>
    <n v="64594.41"/>
  </r>
  <r>
    <s v="EMP1016"/>
    <s v="Employee 17"/>
    <x v="0"/>
    <n v="4"/>
    <n v="46338.97"/>
  </r>
  <r>
    <s v="EMP1017"/>
    <s v="Employee 18"/>
    <x v="1"/>
    <n v="22"/>
    <n v="110680.61"/>
  </r>
  <r>
    <s v="EMP1018"/>
    <s v="Employee 19"/>
    <x v="4"/>
    <n v="18"/>
    <n v="89101.49"/>
  </r>
  <r>
    <s v="EMP1019"/>
    <s v="Employee 20"/>
    <x v="0"/>
    <n v="12"/>
    <n v="67780.52"/>
  </r>
  <r>
    <s v="EMP1020"/>
    <s v="Employee 21"/>
    <x v="3"/>
    <n v="2"/>
    <n v="36247.33"/>
  </r>
  <r>
    <s v="EMP1021"/>
    <s v="Employee 22"/>
    <x v="1"/>
    <n v="10"/>
    <n v="60172.21"/>
  </r>
  <r>
    <s v="EMP1022"/>
    <s v="Employee 23"/>
    <x v="0"/>
    <n v="4"/>
    <n v="44752.45"/>
  </r>
  <r>
    <s v="EMP1023"/>
    <s v="Employee 24"/>
    <x v="4"/>
    <n v="14"/>
    <n v="78432.89"/>
  </r>
  <r>
    <s v="EMP1024"/>
    <s v="Employee 25"/>
    <x v="4"/>
    <n v="16"/>
    <n v="99167.64"/>
  </r>
  <r>
    <s v="EMP1025"/>
    <s v="Employee 26"/>
    <x v="2"/>
    <n v="15"/>
    <n v="77374.55"/>
  </r>
  <r>
    <s v="EMP1026"/>
    <s v="Employee 27"/>
    <x v="2"/>
    <n v="8"/>
    <n v="54089.760000000002"/>
  </r>
  <r>
    <s v="EMP1027"/>
    <s v="Employee 28"/>
    <x v="3"/>
    <n v="14"/>
    <n v="81119.72"/>
  </r>
  <r>
    <s v="EMP1028"/>
    <s v="Employee 29"/>
    <x v="0"/>
    <n v="23"/>
    <n v="114863.53"/>
  </r>
  <r>
    <s v="EMP1029"/>
    <s v="Employee 30"/>
    <x v="0"/>
    <n v="8"/>
    <n v="69436.13"/>
  </r>
  <r>
    <s v="EMP1030"/>
    <s v="Employee 31"/>
    <x v="2"/>
    <n v="21"/>
    <n v="111614.6"/>
  </r>
  <r>
    <s v="EMP1031"/>
    <s v="Employee 32"/>
    <x v="0"/>
    <n v="16"/>
    <n v="90118.67"/>
  </r>
  <r>
    <s v="EMP1032"/>
    <s v="Employee 33"/>
    <x v="0"/>
    <n v="13"/>
    <n v="76965.3"/>
  </r>
  <r>
    <s v="EMP1033"/>
    <s v="Employee 34"/>
    <x v="4"/>
    <n v="18"/>
    <n v="97483.15"/>
  </r>
  <r>
    <s v="EMP1034"/>
    <s v="Employee 35"/>
    <x v="2"/>
    <n v="15"/>
    <n v="79448.39"/>
  </r>
  <r>
    <s v="EMP1035"/>
    <s v="Employee 36"/>
    <x v="1"/>
    <n v="21"/>
    <n v="101919.17"/>
  </r>
  <r>
    <s v="EMP1036"/>
    <s v="Employee 37"/>
    <x v="2"/>
    <n v="24"/>
    <n v="106587.88"/>
  </r>
  <r>
    <s v="EMP1037"/>
    <s v="Employee 38"/>
    <x v="1"/>
    <n v="13"/>
    <n v="74355.759999999995"/>
  </r>
  <r>
    <s v="EMP1038"/>
    <s v="Employee 39"/>
    <x v="4"/>
    <n v="9"/>
    <n v="66313.210000000006"/>
  </r>
  <r>
    <s v="EMP1039"/>
    <s v="Employee 40"/>
    <x v="3"/>
    <n v="15"/>
    <n v="81451.539999999994"/>
  </r>
  <r>
    <s v="EMP1040"/>
    <s v="Employee 41"/>
    <x v="0"/>
    <n v="13"/>
    <n v="71629.789999999994"/>
  </r>
  <r>
    <s v="EMP1041"/>
    <s v="Employee 42"/>
    <x v="4"/>
    <n v="1"/>
    <n v="31701.11"/>
  </r>
  <r>
    <s v="EMP1042"/>
    <s v="Employee 43"/>
    <x v="0"/>
    <n v="7"/>
    <n v="58120.42"/>
  </r>
  <r>
    <s v="EMP1043"/>
    <s v="Employee 44"/>
    <x v="3"/>
    <n v="9"/>
    <n v="60221.18"/>
  </r>
  <r>
    <s v="EMP1044"/>
    <s v="Employee 45"/>
    <x v="3"/>
    <n v="24"/>
    <n v="118249.61"/>
  </r>
  <r>
    <s v="EMP1045"/>
    <s v="Employee 46"/>
    <x v="4"/>
    <n v="1"/>
    <n v="26943.38"/>
  </r>
  <r>
    <s v="EMP1046"/>
    <s v="Employee 47"/>
    <x v="3"/>
    <n v="12"/>
    <n v="67648.479999999996"/>
  </r>
  <r>
    <s v="EMP1047"/>
    <s v="Employee 48"/>
    <x v="1"/>
    <n v="8"/>
    <n v="55466.78"/>
  </r>
  <r>
    <s v="EMP1048"/>
    <s v="Employee 49"/>
    <x v="3"/>
    <n v="24"/>
    <n v="107450.25"/>
  </r>
  <r>
    <s v="EMP1049"/>
    <s v="Employee 50"/>
    <x v="0"/>
    <n v="11"/>
    <n v="83218.32000000000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B57BD7-0903-4D8C-899B-24FA93163E36}" name="PivotTable6" cacheId="18" applyNumberFormats="0" applyBorderFormats="0" applyFontFormats="0" applyPatternFormats="0" applyAlignmentFormats="0" applyWidthHeightFormats="1" dataCaption="Values" updatedVersion="7" minRefreshableVersion="3" useAutoFormatting="1" itemPrintTitles="1" createdVersion="7" indent="0" outline="1" outlineData="1" multipleFieldFilters="0" rowHeaderCaption="Department">
  <location ref="B4:C10" firstHeaderRow="1" firstDataRow="1" firstDataCol="1"/>
  <pivotFields count="5">
    <pivotField showAll="0"/>
    <pivotField showAll="0"/>
    <pivotField axis="axisRow" showAll="0" sortType="descending">
      <items count="6">
        <item x="1"/>
        <item x="0"/>
        <item x="2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dataField="1" numFmtId="8" showAll="0"/>
  </pivotFields>
  <rowFields count="1">
    <field x="2"/>
  </rowFields>
  <rowItems count="6">
    <i>
      <x v="1"/>
    </i>
    <i>
      <x v="2"/>
    </i>
    <i>
      <x/>
    </i>
    <i>
      <x v="3"/>
    </i>
    <i>
      <x v="4"/>
    </i>
    <i t="grand">
      <x/>
    </i>
  </rowItems>
  <colItems count="1">
    <i/>
  </colItems>
  <dataFields count="1">
    <dataField name="Sum of Salary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1"/>
  <sheetViews>
    <sheetView workbookViewId="0">
      <selection activeCell="B1" sqref="B1"/>
    </sheetView>
  </sheetViews>
  <sheetFormatPr defaultRowHeight="15" x14ac:dyDescent="0.25"/>
  <cols>
    <col min="1" max="2" width="13" customWidth="1"/>
    <col min="3" max="3" width="12" customWidth="1"/>
    <col min="4" max="4" width="18" customWidth="1"/>
    <col min="5" max="5" width="13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2" t="s">
        <v>6</v>
      </c>
      <c r="C2" s="2" t="s">
        <v>7</v>
      </c>
      <c r="D2" s="2">
        <v>15</v>
      </c>
      <c r="E2" s="5">
        <v>85681.53</v>
      </c>
    </row>
    <row r="3" spans="1:5" x14ac:dyDescent="0.25">
      <c r="A3" s="2" t="s">
        <v>8</v>
      </c>
      <c r="B3" s="2" t="s">
        <v>9</v>
      </c>
      <c r="C3" s="2" t="s">
        <v>10</v>
      </c>
      <c r="D3" s="2">
        <v>7</v>
      </c>
      <c r="E3" s="5">
        <v>49966.400000000001</v>
      </c>
    </row>
    <row r="4" spans="1:5" x14ac:dyDescent="0.25">
      <c r="A4" s="2" t="s">
        <v>11</v>
      </c>
      <c r="B4" s="2" t="s">
        <v>12</v>
      </c>
      <c r="C4" s="2" t="s">
        <v>13</v>
      </c>
      <c r="D4" s="2">
        <v>12</v>
      </c>
      <c r="E4" s="5">
        <v>74380.210000000006</v>
      </c>
    </row>
    <row r="5" spans="1:5" x14ac:dyDescent="0.25">
      <c r="A5" s="2" t="s">
        <v>14</v>
      </c>
      <c r="B5" s="2" t="s">
        <v>15</v>
      </c>
      <c r="C5" s="2" t="s">
        <v>10</v>
      </c>
      <c r="D5" s="2">
        <v>8</v>
      </c>
      <c r="E5" s="5">
        <v>64518.31</v>
      </c>
    </row>
    <row r="6" spans="1:5" x14ac:dyDescent="0.25">
      <c r="A6" s="2" t="s">
        <v>16</v>
      </c>
      <c r="B6" s="2" t="s">
        <v>17</v>
      </c>
      <c r="C6" s="2" t="s">
        <v>10</v>
      </c>
      <c r="D6" s="2">
        <v>15</v>
      </c>
      <c r="E6" s="5">
        <v>83557.94</v>
      </c>
    </row>
    <row r="7" spans="1:5" x14ac:dyDescent="0.25">
      <c r="A7" s="2" t="s">
        <v>18</v>
      </c>
      <c r="B7" s="2" t="s">
        <v>19</v>
      </c>
      <c r="C7" s="2" t="s">
        <v>20</v>
      </c>
      <c r="D7" s="2">
        <v>3</v>
      </c>
      <c r="E7" s="5">
        <v>43485.22</v>
      </c>
    </row>
    <row r="8" spans="1:5" x14ac:dyDescent="0.25">
      <c r="A8" s="2" t="s">
        <v>21</v>
      </c>
      <c r="B8" s="2" t="s">
        <v>22</v>
      </c>
      <c r="C8" s="2" t="s">
        <v>13</v>
      </c>
      <c r="D8" s="2">
        <v>14</v>
      </c>
      <c r="E8" s="5">
        <v>74518.320000000007</v>
      </c>
    </row>
    <row r="9" spans="1:5" x14ac:dyDescent="0.25">
      <c r="A9" s="2" t="s">
        <v>23</v>
      </c>
      <c r="B9" s="2" t="s">
        <v>24</v>
      </c>
      <c r="C9" s="2" t="s">
        <v>13</v>
      </c>
      <c r="D9" s="2">
        <v>17</v>
      </c>
      <c r="E9" s="5">
        <v>88940.06</v>
      </c>
    </row>
    <row r="10" spans="1:5" x14ac:dyDescent="0.25">
      <c r="A10" s="2" t="s">
        <v>25</v>
      </c>
      <c r="B10" s="2" t="s">
        <v>26</v>
      </c>
      <c r="C10" s="2" t="s">
        <v>13</v>
      </c>
      <c r="D10" s="2">
        <v>4</v>
      </c>
      <c r="E10" s="5">
        <v>51344.71</v>
      </c>
    </row>
    <row r="11" spans="1:5" x14ac:dyDescent="0.25">
      <c r="A11" s="2" t="s">
        <v>27</v>
      </c>
      <c r="B11" s="2" t="s">
        <v>28</v>
      </c>
      <c r="C11" s="2" t="s">
        <v>10</v>
      </c>
      <c r="D11" s="2">
        <v>18</v>
      </c>
      <c r="E11" s="5">
        <v>87380.51</v>
      </c>
    </row>
    <row r="12" spans="1:5" x14ac:dyDescent="0.25">
      <c r="A12" s="2" t="s">
        <v>29</v>
      </c>
      <c r="B12" s="2" t="s">
        <v>30</v>
      </c>
      <c r="C12" s="2" t="s">
        <v>7</v>
      </c>
      <c r="D12" s="2">
        <v>8</v>
      </c>
      <c r="E12" s="5">
        <v>62750.03</v>
      </c>
    </row>
    <row r="13" spans="1:5" x14ac:dyDescent="0.25">
      <c r="A13" s="2" t="s">
        <v>31</v>
      </c>
      <c r="B13" s="2" t="s">
        <v>32</v>
      </c>
      <c r="C13" s="2" t="s">
        <v>13</v>
      </c>
      <c r="D13" s="2">
        <v>4</v>
      </c>
      <c r="E13" s="5">
        <v>52632.58</v>
      </c>
    </row>
    <row r="14" spans="1:5" x14ac:dyDescent="0.25">
      <c r="A14" s="2" t="s">
        <v>33</v>
      </c>
      <c r="B14" s="2" t="s">
        <v>34</v>
      </c>
      <c r="C14" s="2" t="s">
        <v>10</v>
      </c>
      <c r="D14" s="2">
        <v>2</v>
      </c>
      <c r="E14" s="5">
        <v>39289.43</v>
      </c>
    </row>
    <row r="15" spans="1:5" x14ac:dyDescent="0.25">
      <c r="A15" s="2" t="s">
        <v>35</v>
      </c>
      <c r="B15" s="2" t="s">
        <v>36</v>
      </c>
      <c r="C15" s="2" t="s">
        <v>20</v>
      </c>
      <c r="D15" s="2">
        <v>6</v>
      </c>
      <c r="E15" s="5">
        <v>42578.559999999998</v>
      </c>
    </row>
    <row r="16" spans="1:5" x14ac:dyDescent="0.25">
      <c r="A16" s="2" t="s">
        <v>37</v>
      </c>
      <c r="B16" s="2" t="s">
        <v>38</v>
      </c>
      <c r="C16" s="2" t="s">
        <v>7</v>
      </c>
      <c r="D16" s="2">
        <v>22</v>
      </c>
      <c r="E16" s="5">
        <v>108634.23</v>
      </c>
    </row>
    <row r="17" spans="1:5" x14ac:dyDescent="0.25">
      <c r="A17" s="2" t="s">
        <v>39</v>
      </c>
      <c r="B17" s="2" t="s">
        <v>40</v>
      </c>
      <c r="C17" s="2" t="s">
        <v>20</v>
      </c>
      <c r="D17" s="2">
        <v>10</v>
      </c>
      <c r="E17" s="5">
        <v>64594.41</v>
      </c>
    </row>
    <row r="18" spans="1:5" x14ac:dyDescent="0.25">
      <c r="A18" s="2" t="s">
        <v>41</v>
      </c>
      <c r="B18" s="2" t="s">
        <v>42</v>
      </c>
      <c r="C18" s="2" t="s">
        <v>7</v>
      </c>
      <c r="D18" s="2">
        <v>4</v>
      </c>
      <c r="E18" s="5">
        <v>46338.97</v>
      </c>
    </row>
    <row r="19" spans="1:5" x14ac:dyDescent="0.25">
      <c r="A19" s="2" t="s">
        <v>43</v>
      </c>
      <c r="B19" s="2" t="s">
        <v>44</v>
      </c>
      <c r="C19" s="2" t="s">
        <v>10</v>
      </c>
      <c r="D19" s="2">
        <v>22</v>
      </c>
      <c r="E19" s="5">
        <v>110680.61</v>
      </c>
    </row>
    <row r="20" spans="1:5" x14ac:dyDescent="0.25">
      <c r="A20" s="2" t="s">
        <v>45</v>
      </c>
      <c r="B20" s="2" t="s">
        <v>46</v>
      </c>
      <c r="C20" s="2" t="s">
        <v>47</v>
      </c>
      <c r="D20" s="2">
        <v>18</v>
      </c>
      <c r="E20" s="5">
        <v>89101.49</v>
      </c>
    </row>
    <row r="21" spans="1:5" x14ac:dyDescent="0.25">
      <c r="A21" s="2" t="s">
        <v>48</v>
      </c>
      <c r="B21" s="2" t="s">
        <v>49</v>
      </c>
      <c r="C21" s="2" t="s">
        <v>7</v>
      </c>
      <c r="D21" s="2">
        <v>12</v>
      </c>
      <c r="E21" s="5">
        <v>67780.52</v>
      </c>
    </row>
    <row r="22" spans="1:5" x14ac:dyDescent="0.25">
      <c r="A22" s="2" t="s">
        <v>50</v>
      </c>
      <c r="B22" s="2" t="s">
        <v>51</v>
      </c>
      <c r="C22" s="2" t="s">
        <v>20</v>
      </c>
      <c r="D22" s="2">
        <v>2</v>
      </c>
      <c r="E22" s="5">
        <v>36247.33</v>
      </c>
    </row>
    <row r="23" spans="1:5" x14ac:dyDescent="0.25">
      <c r="A23" s="2" t="s">
        <v>52</v>
      </c>
      <c r="B23" s="2" t="s">
        <v>53</v>
      </c>
      <c r="C23" s="2" t="s">
        <v>10</v>
      </c>
      <c r="D23" s="2">
        <v>10</v>
      </c>
      <c r="E23" s="5">
        <v>60172.21</v>
      </c>
    </row>
    <row r="24" spans="1:5" x14ac:dyDescent="0.25">
      <c r="A24" s="2" t="s">
        <v>54</v>
      </c>
      <c r="B24" s="2" t="s">
        <v>55</v>
      </c>
      <c r="C24" s="2" t="s">
        <v>7</v>
      </c>
      <c r="D24" s="2">
        <v>4</v>
      </c>
      <c r="E24" s="5">
        <v>44752.45</v>
      </c>
    </row>
    <row r="25" spans="1:5" x14ac:dyDescent="0.25">
      <c r="A25" s="2" t="s">
        <v>56</v>
      </c>
      <c r="B25" s="2" t="s">
        <v>57</v>
      </c>
      <c r="C25" s="2" t="s">
        <v>47</v>
      </c>
      <c r="D25" s="2">
        <v>14</v>
      </c>
      <c r="E25" s="5">
        <v>78432.89</v>
      </c>
    </row>
    <row r="26" spans="1:5" x14ac:dyDescent="0.25">
      <c r="A26" s="2" t="s">
        <v>58</v>
      </c>
      <c r="B26" s="2" t="s">
        <v>59</v>
      </c>
      <c r="C26" s="2" t="s">
        <v>47</v>
      </c>
      <c r="D26" s="2">
        <v>16</v>
      </c>
      <c r="E26" s="5">
        <v>99167.64</v>
      </c>
    </row>
    <row r="27" spans="1:5" x14ac:dyDescent="0.25">
      <c r="A27" s="2" t="s">
        <v>60</v>
      </c>
      <c r="B27" s="2" t="s">
        <v>61</v>
      </c>
      <c r="C27" s="2" t="s">
        <v>13</v>
      </c>
      <c r="D27" s="2">
        <v>15</v>
      </c>
      <c r="E27" s="5">
        <v>77374.55</v>
      </c>
    </row>
    <row r="28" spans="1:5" x14ac:dyDescent="0.25">
      <c r="A28" s="2" t="s">
        <v>62</v>
      </c>
      <c r="B28" s="2" t="s">
        <v>63</v>
      </c>
      <c r="C28" s="2" t="s">
        <v>13</v>
      </c>
      <c r="D28" s="2">
        <v>8</v>
      </c>
      <c r="E28" s="5">
        <v>54089.760000000002</v>
      </c>
    </row>
    <row r="29" spans="1:5" x14ac:dyDescent="0.25">
      <c r="A29" s="2" t="s">
        <v>64</v>
      </c>
      <c r="B29" s="2" t="s">
        <v>65</v>
      </c>
      <c r="C29" s="2" t="s">
        <v>20</v>
      </c>
      <c r="D29" s="2">
        <v>14</v>
      </c>
      <c r="E29" s="5">
        <v>81119.72</v>
      </c>
    </row>
    <row r="30" spans="1:5" x14ac:dyDescent="0.25">
      <c r="A30" s="2" t="s">
        <v>66</v>
      </c>
      <c r="B30" s="2" t="s">
        <v>67</v>
      </c>
      <c r="C30" s="2" t="s">
        <v>7</v>
      </c>
      <c r="D30" s="2">
        <v>23</v>
      </c>
      <c r="E30" s="5">
        <v>114863.53</v>
      </c>
    </row>
    <row r="31" spans="1:5" x14ac:dyDescent="0.25">
      <c r="A31" s="2" t="s">
        <v>68</v>
      </c>
      <c r="B31" s="2" t="s">
        <v>69</v>
      </c>
      <c r="C31" s="2" t="s">
        <v>7</v>
      </c>
      <c r="D31" s="2">
        <v>8</v>
      </c>
      <c r="E31" s="5">
        <v>69436.13</v>
      </c>
    </row>
    <row r="32" spans="1:5" x14ac:dyDescent="0.25">
      <c r="A32" s="2" t="s">
        <v>70</v>
      </c>
      <c r="B32" s="2" t="s">
        <v>71</v>
      </c>
      <c r="C32" s="2" t="s">
        <v>13</v>
      </c>
      <c r="D32" s="2">
        <v>21</v>
      </c>
      <c r="E32" s="5">
        <v>111614.6</v>
      </c>
    </row>
    <row r="33" spans="1:5" x14ac:dyDescent="0.25">
      <c r="A33" s="2" t="s">
        <v>72</v>
      </c>
      <c r="B33" s="2" t="s">
        <v>73</v>
      </c>
      <c r="C33" s="2" t="s">
        <v>7</v>
      </c>
      <c r="D33" s="2">
        <v>16</v>
      </c>
      <c r="E33" s="5">
        <v>90118.67</v>
      </c>
    </row>
    <row r="34" spans="1:5" x14ac:dyDescent="0.25">
      <c r="A34" s="2" t="s">
        <v>74</v>
      </c>
      <c r="B34" s="2" t="s">
        <v>75</v>
      </c>
      <c r="C34" s="2" t="s">
        <v>7</v>
      </c>
      <c r="D34" s="2">
        <v>13</v>
      </c>
      <c r="E34" s="5">
        <v>76965.3</v>
      </c>
    </row>
    <row r="35" spans="1:5" x14ac:dyDescent="0.25">
      <c r="A35" s="2" t="s">
        <v>76</v>
      </c>
      <c r="B35" s="2" t="s">
        <v>77</v>
      </c>
      <c r="C35" s="2" t="s">
        <v>47</v>
      </c>
      <c r="D35" s="2">
        <v>18</v>
      </c>
      <c r="E35" s="5">
        <v>97483.15</v>
      </c>
    </row>
    <row r="36" spans="1:5" x14ac:dyDescent="0.25">
      <c r="A36" s="2" t="s">
        <v>78</v>
      </c>
      <c r="B36" s="2" t="s">
        <v>79</v>
      </c>
      <c r="C36" s="2" t="s">
        <v>13</v>
      </c>
      <c r="D36" s="2">
        <v>15</v>
      </c>
      <c r="E36" s="5">
        <v>79448.39</v>
      </c>
    </row>
    <row r="37" spans="1:5" x14ac:dyDescent="0.25">
      <c r="A37" s="2" t="s">
        <v>80</v>
      </c>
      <c r="B37" s="2" t="s">
        <v>81</v>
      </c>
      <c r="C37" s="2" t="s">
        <v>10</v>
      </c>
      <c r="D37" s="2">
        <v>21</v>
      </c>
      <c r="E37" s="5">
        <v>101919.17</v>
      </c>
    </row>
    <row r="38" spans="1:5" x14ac:dyDescent="0.25">
      <c r="A38" s="2" t="s">
        <v>82</v>
      </c>
      <c r="B38" s="2" t="s">
        <v>83</v>
      </c>
      <c r="C38" s="2" t="s">
        <v>13</v>
      </c>
      <c r="D38" s="2">
        <v>24</v>
      </c>
      <c r="E38" s="5">
        <v>106587.88</v>
      </c>
    </row>
    <row r="39" spans="1:5" x14ac:dyDescent="0.25">
      <c r="A39" s="2" t="s">
        <v>84</v>
      </c>
      <c r="B39" s="2" t="s">
        <v>85</v>
      </c>
      <c r="C39" s="2" t="s">
        <v>10</v>
      </c>
      <c r="D39" s="2">
        <v>13</v>
      </c>
      <c r="E39" s="5">
        <v>74355.759999999995</v>
      </c>
    </row>
    <row r="40" spans="1:5" x14ac:dyDescent="0.25">
      <c r="A40" s="2" t="s">
        <v>86</v>
      </c>
      <c r="B40" s="2" t="s">
        <v>87</v>
      </c>
      <c r="C40" s="2" t="s">
        <v>47</v>
      </c>
      <c r="D40" s="2">
        <v>9</v>
      </c>
      <c r="E40" s="5">
        <v>66313.210000000006</v>
      </c>
    </row>
    <row r="41" spans="1:5" x14ac:dyDescent="0.25">
      <c r="A41" s="2" t="s">
        <v>88</v>
      </c>
      <c r="B41" s="2" t="s">
        <v>89</v>
      </c>
      <c r="C41" s="2" t="s">
        <v>20</v>
      </c>
      <c r="D41" s="2">
        <v>15</v>
      </c>
      <c r="E41" s="5">
        <v>81451.539999999994</v>
      </c>
    </row>
    <row r="42" spans="1:5" x14ac:dyDescent="0.25">
      <c r="A42" s="2" t="s">
        <v>90</v>
      </c>
      <c r="B42" s="2" t="s">
        <v>91</v>
      </c>
      <c r="C42" s="2" t="s">
        <v>7</v>
      </c>
      <c r="D42" s="2">
        <v>13</v>
      </c>
      <c r="E42" s="5">
        <v>71629.789999999994</v>
      </c>
    </row>
    <row r="43" spans="1:5" x14ac:dyDescent="0.25">
      <c r="A43" s="2" t="s">
        <v>92</v>
      </c>
      <c r="B43" s="2" t="s">
        <v>93</v>
      </c>
      <c r="C43" s="2" t="s">
        <v>47</v>
      </c>
      <c r="D43" s="2">
        <v>1</v>
      </c>
      <c r="E43" s="5">
        <v>31701.11</v>
      </c>
    </row>
    <row r="44" spans="1:5" x14ac:dyDescent="0.25">
      <c r="A44" s="2" t="s">
        <v>94</v>
      </c>
      <c r="B44" s="2" t="s">
        <v>95</v>
      </c>
      <c r="C44" s="2" t="s">
        <v>7</v>
      </c>
      <c r="D44" s="2">
        <v>7</v>
      </c>
      <c r="E44" s="5">
        <v>58120.42</v>
      </c>
    </row>
    <row r="45" spans="1:5" x14ac:dyDescent="0.25">
      <c r="A45" s="2" t="s">
        <v>96</v>
      </c>
      <c r="B45" s="2" t="s">
        <v>97</v>
      </c>
      <c r="C45" s="2" t="s">
        <v>20</v>
      </c>
      <c r="D45" s="2">
        <v>9</v>
      </c>
      <c r="E45" s="5">
        <v>60221.18</v>
      </c>
    </row>
    <row r="46" spans="1:5" x14ac:dyDescent="0.25">
      <c r="A46" s="2" t="s">
        <v>98</v>
      </c>
      <c r="B46" s="2" t="s">
        <v>99</v>
      </c>
      <c r="C46" s="2" t="s">
        <v>20</v>
      </c>
      <c r="D46" s="2">
        <v>24</v>
      </c>
      <c r="E46" s="5">
        <v>118249.61</v>
      </c>
    </row>
    <row r="47" spans="1:5" x14ac:dyDescent="0.25">
      <c r="A47" s="2" t="s">
        <v>100</v>
      </c>
      <c r="B47" s="2" t="s">
        <v>101</v>
      </c>
      <c r="C47" s="2" t="s">
        <v>47</v>
      </c>
      <c r="D47" s="2">
        <v>1</v>
      </c>
      <c r="E47" s="5">
        <v>26943.38</v>
      </c>
    </row>
    <row r="48" spans="1:5" x14ac:dyDescent="0.25">
      <c r="A48" s="2" t="s">
        <v>102</v>
      </c>
      <c r="B48" s="2" t="s">
        <v>103</v>
      </c>
      <c r="C48" s="2" t="s">
        <v>20</v>
      </c>
      <c r="D48" s="2">
        <v>12</v>
      </c>
      <c r="E48" s="5">
        <v>67648.479999999996</v>
      </c>
    </row>
    <row r="49" spans="1:5" x14ac:dyDescent="0.25">
      <c r="A49" s="2" t="s">
        <v>104</v>
      </c>
      <c r="B49" s="2" t="s">
        <v>105</v>
      </c>
      <c r="C49" s="2" t="s">
        <v>10</v>
      </c>
      <c r="D49" s="2">
        <v>8</v>
      </c>
      <c r="E49" s="5">
        <v>55466.78</v>
      </c>
    </row>
    <row r="50" spans="1:5" x14ac:dyDescent="0.25">
      <c r="A50" s="2" t="s">
        <v>106</v>
      </c>
      <c r="B50" s="2" t="s">
        <v>107</v>
      </c>
      <c r="C50" s="2" t="s">
        <v>20</v>
      </c>
      <c r="D50" s="2">
        <v>24</v>
      </c>
      <c r="E50" s="5">
        <v>107450.25</v>
      </c>
    </row>
    <row r="51" spans="1:5" x14ac:dyDescent="0.25">
      <c r="A51" s="2" t="s">
        <v>108</v>
      </c>
      <c r="B51" s="2" t="s">
        <v>109</v>
      </c>
      <c r="C51" s="2" t="s">
        <v>7</v>
      </c>
      <c r="D51" s="2">
        <v>11</v>
      </c>
      <c r="E51" s="5">
        <v>83218.320000000007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5"/>
  <sheetViews>
    <sheetView topLeftCell="A35" workbookViewId="0">
      <selection activeCell="C44" sqref="C44"/>
    </sheetView>
  </sheetViews>
  <sheetFormatPr defaultRowHeight="15" x14ac:dyDescent="0.25"/>
  <cols>
    <col min="1" max="1" width="20" customWidth="1"/>
    <col min="2" max="3" width="25" customWidth="1"/>
  </cols>
  <sheetData>
    <row r="1" spans="1:3" x14ac:dyDescent="0.25">
      <c r="A1" s="1" t="s">
        <v>110</v>
      </c>
      <c r="B1" s="1" t="s">
        <v>111</v>
      </c>
      <c r="C1" s="1" t="s">
        <v>112</v>
      </c>
    </row>
    <row r="2" spans="1:3" x14ac:dyDescent="0.25">
      <c r="A2" t="s">
        <v>18</v>
      </c>
      <c r="B2" t="str">
        <f>_xlfn.XLOOKUP(A2,Dataset!A2:A51,Dataset!B2:B51)</f>
        <v>Employee 6</v>
      </c>
      <c r="C2">
        <f>VLOOKUP(A2,Dataset!A2:E51,5,FALSE)</f>
        <v>43485.22</v>
      </c>
    </row>
    <row r="3" spans="1:3" x14ac:dyDescent="0.25">
      <c r="A3" t="s">
        <v>33</v>
      </c>
      <c r="B3" t="str">
        <f>_xlfn.XLOOKUP(A3,Dataset!A3:A52,Dataset!B3:B52)</f>
        <v>Employee 13</v>
      </c>
      <c r="C3">
        <f>VLOOKUP(A3,Dataset!A3:E52,5,FALSE)</f>
        <v>39289.43</v>
      </c>
    </row>
    <row r="4" spans="1:3" x14ac:dyDescent="0.25">
      <c r="A4" s="2" t="s">
        <v>31</v>
      </c>
      <c r="B4" t="str">
        <f>_xlfn.XLOOKUP(A4,Dataset!A4:A53,Dataset!B4:B53)</f>
        <v>Employee 12</v>
      </c>
      <c r="C4">
        <f>VLOOKUP(A4,Dataset!A4:E53,5,FALSE)</f>
        <v>52632.58</v>
      </c>
    </row>
    <row r="5" spans="1:3" x14ac:dyDescent="0.25">
      <c r="A5" s="2" t="s">
        <v>33</v>
      </c>
      <c r="B5" t="str">
        <f>_xlfn.XLOOKUP(A5,Dataset!A5:A54,Dataset!B5:B54)</f>
        <v>Employee 13</v>
      </c>
      <c r="C5">
        <f>VLOOKUP(A5,Dataset!A5:E54,5,FALSE)</f>
        <v>39289.43</v>
      </c>
    </row>
    <row r="6" spans="1:3" x14ac:dyDescent="0.25">
      <c r="A6" s="2" t="s">
        <v>35</v>
      </c>
      <c r="B6" t="str">
        <f>_xlfn.XLOOKUP(A6,Dataset!A6:A55,Dataset!B6:B55)</f>
        <v>Employee 14</v>
      </c>
      <c r="C6">
        <f>VLOOKUP(A6,Dataset!A6:E55,5,FALSE)</f>
        <v>42578.559999999998</v>
      </c>
    </row>
    <row r="7" spans="1:3" x14ac:dyDescent="0.25">
      <c r="A7" s="2" t="s">
        <v>37</v>
      </c>
      <c r="B7" t="str">
        <f>_xlfn.XLOOKUP(A7,Dataset!A7:A56,Dataset!B7:B56)</f>
        <v>Employee 15</v>
      </c>
      <c r="C7">
        <f>VLOOKUP(A7,Dataset!A7:E56,5,FALSE)</f>
        <v>108634.23</v>
      </c>
    </row>
    <row r="8" spans="1:3" x14ac:dyDescent="0.25">
      <c r="A8" s="2" t="s">
        <v>39</v>
      </c>
      <c r="B8" t="str">
        <f>_xlfn.XLOOKUP(A8,Dataset!A8:A57,Dataset!B8:B57)</f>
        <v>Employee 16</v>
      </c>
      <c r="C8">
        <f>VLOOKUP(A8,Dataset!A8:E57,5,FALSE)</f>
        <v>64594.41</v>
      </c>
    </row>
    <row r="9" spans="1:3" x14ac:dyDescent="0.25">
      <c r="A9" s="2" t="s">
        <v>41</v>
      </c>
      <c r="B9" t="str">
        <f>_xlfn.XLOOKUP(A9,Dataset!A9:A58,Dataset!B9:B58)</f>
        <v>Employee 17</v>
      </c>
      <c r="C9">
        <f>VLOOKUP(A9,Dataset!A9:E58,5,FALSE)</f>
        <v>46338.97</v>
      </c>
    </row>
    <row r="10" spans="1:3" x14ac:dyDescent="0.25">
      <c r="A10" s="2" t="s">
        <v>43</v>
      </c>
      <c r="B10" t="str">
        <f>_xlfn.XLOOKUP(A10,Dataset!A10:A59,Dataset!B10:B59)</f>
        <v>Employee 18</v>
      </c>
      <c r="C10">
        <f>VLOOKUP(A10,Dataset!A10:E59,5,FALSE)</f>
        <v>110680.61</v>
      </c>
    </row>
    <row r="11" spans="1:3" x14ac:dyDescent="0.25">
      <c r="A11" s="2" t="s">
        <v>45</v>
      </c>
      <c r="B11" t="str">
        <f>_xlfn.XLOOKUP(A11,Dataset!A11:A60,Dataset!B11:B60)</f>
        <v>Employee 19</v>
      </c>
      <c r="C11">
        <f>VLOOKUP(A11,Dataset!A11:E60,5,FALSE)</f>
        <v>89101.49</v>
      </c>
    </row>
    <row r="12" spans="1:3" x14ac:dyDescent="0.25">
      <c r="A12" s="2" t="s">
        <v>48</v>
      </c>
      <c r="B12" t="str">
        <f>_xlfn.XLOOKUP(A12,Dataset!A12:A61,Dataset!B12:B61)</f>
        <v>Employee 20</v>
      </c>
      <c r="C12">
        <f>VLOOKUP(A12,Dataset!A12:E61,5,FALSE)</f>
        <v>67780.52</v>
      </c>
    </row>
    <row r="13" spans="1:3" x14ac:dyDescent="0.25">
      <c r="A13" s="2" t="s">
        <v>50</v>
      </c>
      <c r="B13" t="str">
        <f>_xlfn.XLOOKUP(A13,Dataset!A13:A62,Dataset!B13:B62)</f>
        <v>Employee 21</v>
      </c>
      <c r="C13">
        <f>VLOOKUP(A13,Dataset!A13:E62,5,FALSE)</f>
        <v>36247.33</v>
      </c>
    </row>
    <row r="14" spans="1:3" x14ac:dyDescent="0.25">
      <c r="A14" s="2" t="s">
        <v>52</v>
      </c>
      <c r="B14" t="str">
        <f>_xlfn.XLOOKUP(A14,Dataset!A14:A63,Dataset!B14:B63)</f>
        <v>Employee 22</v>
      </c>
      <c r="C14">
        <f>VLOOKUP(A14,Dataset!A14:E63,5,FALSE)</f>
        <v>60172.21</v>
      </c>
    </row>
    <row r="15" spans="1:3" x14ac:dyDescent="0.25">
      <c r="A15" s="2" t="s">
        <v>54</v>
      </c>
      <c r="B15" t="str">
        <f>_xlfn.XLOOKUP(A15,Dataset!A15:A64,Dataset!B15:B64)</f>
        <v>Employee 23</v>
      </c>
      <c r="C15">
        <f>VLOOKUP(A15,Dataset!A15:E64,5,FALSE)</f>
        <v>44752.45</v>
      </c>
    </row>
    <row r="16" spans="1:3" x14ac:dyDescent="0.25">
      <c r="A16" s="2" t="s">
        <v>56</v>
      </c>
      <c r="B16" t="str">
        <f>_xlfn.XLOOKUP(A16,Dataset!A16:A65,Dataset!B16:B65)</f>
        <v>Employee 24</v>
      </c>
      <c r="C16">
        <f>VLOOKUP(A16,Dataset!A16:E65,5,FALSE)</f>
        <v>78432.89</v>
      </c>
    </row>
    <row r="17" spans="1:3" x14ac:dyDescent="0.25">
      <c r="A17" s="2" t="s">
        <v>58</v>
      </c>
      <c r="B17" t="str">
        <f>_xlfn.XLOOKUP(A17,Dataset!A17:A66,Dataset!B17:B66)</f>
        <v>Employee 25</v>
      </c>
      <c r="C17">
        <f>VLOOKUP(A17,Dataset!A17:E66,5,FALSE)</f>
        <v>99167.64</v>
      </c>
    </row>
    <row r="18" spans="1:3" x14ac:dyDescent="0.25">
      <c r="A18" s="2" t="s">
        <v>60</v>
      </c>
      <c r="B18" t="str">
        <f>_xlfn.XLOOKUP(A18,Dataset!A18:A67,Dataset!B18:B67)</f>
        <v>Employee 26</v>
      </c>
      <c r="C18">
        <f>VLOOKUP(A18,Dataset!A18:E67,5,FALSE)</f>
        <v>77374.55</v>
      </c>
    </row>
    <row r="19" spans="1:3" x14ac:dyDescent="0.25">
      <c r="A19" s="2" t="s">
        <v>62</v>
      </c>
      <c r="B19" t="str">
        <f>_xlfn.XLOOKUP(A19,Dataset!A19:A68,Dataset!B19:B68)</f>
        <v>Employee 27</v>
      </c>
      <c r="C19">
        <f>VLOOKUP(A19,Dataset!A19:E68,5,FALSE)</f>
        <v>54089.760000000002</v>
      </c>
    </row>
    <row r="20" spans="1:3" x14ac:dyDescent="0.25">
      <c r="A20" s="2" t="s">
        <v>64</v>
      </c>
      <c r="B20" t="str">
        <f>_xlfn.XLOOKUP(A20,Dataset!A20:A69,Dataset!B20:B69)</f>
        <v>Employee 28</v>
      </c>
      <c r="C20">
        <f>VLOOKUP(A20,Dataset!A20:E69,5,FALSE)</f>
        <v>81119.72</v>
      </c>
    </row>
    <row r="21" spans="1:3" x14ac:dyDescent="0.25">
      <c r="A21" s="2" t="s">
        <v>66</v>
      </c>
      <c r="B21" t="str">
        <f>_xlfn.XLOOKUP(A21,Dataset!A21:A70,Dataset!B21:B70)</f>
        <v>Employee 29</v>
      </c>
      <c r="C21">
        <f>VLOOKUP(A21,Dataset!A21:E70,5,FALSE)</f>
        <v>114863.53</v>
      </c>
    </row>
    <row r="22" spans="1:3" x14ac:dyDescent="0.25">
      <c r="A22" s="2" t="s">
        <v>68</v>
      </c>
      <c r="B22" t="str">
        <f>_xlfn.XLOOKUP(A22,Dataset!A22:A71,Dataset!B22:B71)</f>
        <v>Employee 30</v>
      </c>
      <c r="C22">
        <f>VLOOKUP(A22,Dataset!A22:E71,5,FALSE)</f>
        <v>69436.13</v>
      </c>
    </row>
    <row r="23" spans="1:3" x14ac:dyDescent="0.25">
      <c r="A23" s="2" t="s">
        <v>70</v>
      </c>
      <c r="B23" t="str">
        <f>_xlfn.XLOOKUP(A23,Dataset!A23:A72,Dataset!B23:B72)</f>
        <v>Employee 31</v>
      </c>
      <c r="C23">
        <f>VLOOKUP(A23,Dataset!A23:E72,5,FALSE)</f>
        <v>111614.6</v>
      </c>
    </row>
    <row r="24" spans="1:3" x14ac:dyDescent="0.25">
      <c r="A24" s="2" t="s">
        <v>72</v>
      </c>
      <c r="B24" t="str">
        <f>_xlfn.XLOOKUP(A24,Dataset!A24:A73,Dataset!B24:B73)</f>
        <v>Employee 32</v>
      </c>
      <c r="C24">
        <f>VLOOKUP(A24,Dataset!A24:E73,5,FALSE)</f>
        <v>90118.67</v>
      </c>
    </row>
    <row r="25" spans="1:3" x14ac:dyDescent="0.25">
      <c r="A25" s="2" t="s">
        <v>74</v>
      </c>
      <c r="B25" t="str">
        <f>_xlfn.XLOOKUP(A25,Dataset!A25:A74,Dataset!B25:B74)</f>
        <v>Employee 33</v>
      </c>
      <c r="C25">
        <f>VLOOKUP(A25,Dataset!A25:E74,5,FALSE)</f>
        <v>76965.3</v>
      </c>
    </row>
    <row r="26" spans="1:3" x14ac:dyDescent="0.25">
      <c r="A26" s="2" t="s">
        <v>76</v>
      </c>
      <c r="B26" t="str">
        <f>_xlfn.XLOOKUP(A26,Dataset!A26:A75,Dataset!B26:B75)</f>
        <v>Employee 34</v>
      </c>
      <c r="C26">
        <f>VLOOKUP(A26,Dataset!A26:E75,5,FALSE)</f>
        <v>97483.15</v>
      </c>
    </row>
    <row r="27" spans="1:3" x14ac:dyDescent="0.25">
      <c r="A27" s="2" t="s">
        <v>78</v>
      </c>
      <c r="B27" t="str">
        <f>_xlfn.XLOOKUP(A27,Dataset!A27:A76,Dataset!B27:B76)</f>
        <v>Employee 35</v>
      </c>
      <c r="C27">
        <f>VLOOKUP(A27,Dataset!A27:E76,5,FALSE)</f>
        <v>79448.39</v>
      </c>
    </row>
    <row r="28" spans="1:3" x14ac:dyDescent="0.25">
      <c r="A28" s="2" t="s">
        <v>80</v>
      </c>
      <c r="B28" t="str">
        <f>_xlfn.XLOOKUP(A28,Dataset!A28:A77,Dataset!B28:B77)</f>
        <v>Employee 36</v>
      </c>
      <c r="C28">
        <f>VLOOKUP(A28,Dataset!A28:E77,5,FALSE)</f>
        <v>101919.17</v>
      </c>
    </row>
    <row r="29" spans="1:3" x14ac:dyDescent="0.25">
      <c r="A29" s="2" t="s">
        <v>82</v>
      </c>
      <c r="B29" t="str">
        <f>_xlfn.XLOOKUP(A29,Dataset!A29:A78,Dataset!B29:B78)</f>
        <v>Employee 37</v>
      </c>
      <c r="C29">
        <f>VLOOKUP(A29,Dataset!A29:E78,5,FALSE)</f>
        <v>106587.88</v>
      </c>
    </row>
    <row r="30" spans="1:3" x14ac:dyDescent="0.25">
      <c r="A30" s="2" t="s">
        <v>84</v>
      </c>
      <c r="B30" t="str">
        <f>_xlfn.XLOOKUP(A30,Dataset!A30:A79,Dataset!B30:B79)</f>
        <v>Employee 38</v>
      </c>
      <c r="C30">
        <f>VLOOKUP(A30,Dataset!A30:E79,5,FALSE)</f>
        <v>74355.759999999995</v>
      </c>
    </row>
    <row r="31" spans="1:3" x14ac:dyDescent="0.25">
      <c r="A31" s="2" t="s">
        <v>86</v>
      </c>
      <c r="B31" t="str">
        <f>_xlfn.XLOOKUP(A31,Dataset!A31:A80,Dataset!B31:B80)</f>
        <v>Employee 39</v>
      </c>
      <c r="C31">
        <f>VLOOKUP(A31,Dataset!A31:E80,5,FALSE)</f>
        <v>66313.210000000006</v>
      </c>
    </row>
    <row r="32" spans="1:3" x14ac:dyDescent="0.25">
      <c r="A32" s="2" t="s">
        <v>88</v>
      </c>
      <c r="B32" t="str">
        <f>_xlfn.XLOOKUP(A32,Dataset!A32:A81,Dataset!B32:B81)</f>
        <v>Employee 40</v>
      </c>
      <c r="C32">
        <f>VLOOKUP(A32,Dataset!A32:E81,5,FALSE)</f>
        <v>81451.539999999994</v>
      </c>
    </row>
    <row r="33" spans="1:3" x14ac:dyDescent="0.25">
      <c r="A33" s="2" t="s">
        <v>90</v>
      </c>
      <c r="B33" t="str">
        <f>_xlfn.XLOOKUP(A33,Dataset!A33:A82,Dataset!B33:B82)</f>
        <v>Employee 41</v>
      </c>
      <c r="C33">
        <f>VLOOKUP(A33,Dataset!A33:E82,5,FALSE)</f>
        <v>71629.789999999994</v>
      </c>
    </row>
    <row r="34" spans="1:3" x14ac:dyDescent="0.25">
      <c r="A34" s="2" t="s">
        <v>92</v>
      </c>
      <c r="B34" t="str">
        <f>_xlfn.XLOOKUP(A34,Dataset!A34:A83,Dataset!B34:B83)</f>
        <v>Employee 42</v>
      </c>
      <c r="C34">
        <f>VLOOKUP(A34,Dataset!A34:E83,5,FALSE)</f>
        <v>31701.11</v>
      </c>
    </row>
    <row r="35" spans="1:3" x14ac:dyDescent="0.25">
      <c r="A35" s="2" t="s">
        <v>94</v>
      </c>
      <c r="B35" t="str">
        <f>_xlfn.XLOOKUP(A35,Dataset!A35:A84,Dataset!B35:B84)</f>
        <v>Employee 43</v>
      </c>
      <c r="C35">
        <f>VLOOKUP(A35,Dataset!A35:E84,5,FALSE)</f>
        <v>58120.42</v>
      </c>
    </row>
    <row r="36" spans="1:3" x14ac:dyDescent="0.25">
      <c r="A36" s="2" t="s">
        <v>96</v>
      </c>
      <c r="B36" t="str">
        <f>_xlfn.XLOOKUP(A36,Dataset!A36:A85,Dataset!B36:B85)</f>
        <v>Employee 44</v>
      </c>
      <c r="C36">
        <f>VLOOKUP(A36,Dataset!A36:E85,5,FALSE)</f>
        <v>60221.18</v>
      </c>
    </row>
    <row r="37" spans="1:3" x14ac:dyDescent="0.25">
      <c r="A37" s="2" t="s">
        <v>98</v>
      </c>
      <c r="B37" t="str">
        <f>_xlfn.XLOOKUP(A37,Dataset!A37:A86,Dataset!B37:B86)</f>
        <v>Employee 45</v>
      </c>
      <c r="C37">
        <f>VLOOKUP(A37,Dataset!A37:E86,5,FALSE)</f>
        <v>118249.61</v>
      </c>
    </row>
    <row r="38" spans="1:3" x14ac:dyDescent="0.25">
      <c r="A38" s="2" t="s">
        <v>100</v>
      </c>
      <c r="B38" t="str">
        <f>_xlfn.XLOOKUP(A38,Dataset!A38:A87,Dataset!B38:B87)</f>
        <v>Employee 46</v>
      </c>
      <c r="C38">
        <f>VLOOKUP(A38,Dataset!A38:E87,5,FALSE)</f>
        <v>26943.38</v>
      </c>
    </row>
    <row r="39" spans="1:3" x14ac:dyDescent="0.25">
      <c r="A39" s="2" t="s">
        <v>102</v>
      </c>
      <c r="B39" t="str">
        <f>_xlfn.XLOOKUP(A39,Dataset!A39:A88,Dataset!B39:B88)</f>
        <v>Employee 47</v>
      </c>
      <c r="C39">
        <f>VLOOKUP(A39,Dataset!A39:E88,5,FALSE)</f>
        <v>67648.479999999996</v>
      </c>
    </row>
    <row r="40" spans="1:3" x14ac:dyDescent="0.25">
      <c r="A40" s="2" t="s">
        <v>104</v>
      </c>
      <c r="B40" t="str">
        <f>_xlfn.XLOOKUP(A40,Dataset!A40:A89,Dataset!B40:B89)</f>
        <v>Employee 48</v>
      </c>
      <c r="C40">
        <f>VLOOKUP(A40,Dataset!A40:E89,5,FALSE)</f>
        <v>55466.78</v>
      </c>
    </row>
    <row r="41" spans="1:3" x14ac:dyDescent="0.25">
      <c r="A41" s="2" t="s">
        <v>106</v>
      </c>
      <c r="B41" t="str">
        <f>_xlfn.XLOOKUP(A41,Dataset!A41:A90,Dataset!B41:B90)</f>
        <v>Employee 49</v>
      </c>
      <c r="C41">
        <f>VLOOKUP(A41,Dataset!A41:E90,5,FALSE)</f>
        <v>107450.25</v>
      </c>
    </row>
    <row r="42" spans="1:3" x14ac:dyDescent="0.25">
      <c r="A42" s="2" t="s">
        <v>108</v>
      </c>
      <c r="B42" t="str">
        <f>_xlfn.XLOOKUP(A42,Dataset!A42:A91,Dataset!B42:B91)</f>
        <v>Employee 50</v>
      </c>
      <c r="C42">
        <f>VLOOKUP(A42,Dataset!A42:E91,5,FALSE)</f>
        <v>83218.320000000007</v>
      </c>
    </row>
    <row r="43" spans="1:3" x14ac:dyDescent="0.25">
      <c r="A43" s="2" t="s">
        <v>11</v>
      </c>
      <c r="B43" t="str">
        <f>_xlfn.XLOOKUP(Dataset!A4,Dataset!A2:A51,Dataset!B2:B51)</f>
        <v>Employee 3</v>
      </c>
      <c r="C43">
        <f>VLOOKUP(A43,Dataset!A2:E51,5,FALSE)</f>
        <v>74380.210000000006</v>
      </c>
    </row>
    <row r="44" spans="1:3" x14ac:dyDescent="0.25">
      <c r="A44" s="2" t="s">
        <v>14</v>
      </c>
      <c r="B44" t="str">
        <f>_xlfn.XLOOKUP(Dataset!A5,Dataset!A3:A52,Dataset!B3:B52)</f>
        <v>Employee 4</v>
      </c>
      <c r="C44">
        <f>VLOOKUP(A44,Dataset!A3:E52,5,FALSE)</f>
        <v>64518.31</v>
      </c>
    </row>
    <row r="45" spans="1:3" x14ac:dyDescent="0.25">
      <c r="A45" s="2" t="s">
        <v>16</v>
      </c>
      <c r="B45" t="str">
        <f>_xlfn.XLOOKUP(Dataset!A6,Dataset!A4:A53,Dataset!B4:B53)</f>
        <v>Employee 5</v>
      </c>
      <c r="C45">
        <f>VLOOKUP(A45,Dataset!A4:E53,5,FALSE)</f>
        <v>83557.94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workbookViewId="0">
      <selection activeCell="B12" sqref="B12"/>
    </sheetView>
  </sheetViews>
  <sheetFormatPr defaultRowHeight="15" x14ac:dyDescent="0.25"/>
  <cols>
    <col min="2" max="2" width="13.140625" bestFit="1" customWidth="1"/>
    <col min="3" max="3" width="12.85546875" bestFit="1" customWidth="1"/>
  </cols>
  <sheetData>
    <row r="1" spans="1:9" x14ac:dyDescent="0.25">
      <c r="A1" s="4" t="s">
        <v>113</v>
      </c>
      <c r="B1" s="4"/>
      <c r="C1" s="4"/>
      <c r="D1" s="4"/>
      <c r="E1" s="4"/>
      <c r="F1" s="4"/>
      <c r="G1" s="4"/>
      <c r="H1" s="4"/>
      <c r="I1" s="4"/>
    </row>
    <row r="2" spans="1:9" x14ac:dyDescent="0.25">
      <c r="A2" s="4"/>
      <c r="B2" s="4"/>
      <c r="C2" s="4"/>
      <c r="D2" s="4"/>
      <c r="E2" s="4"/>
      <c r="F2" s="4"/>
      <c r="G2" s="4"/>
      <c r="H2" s="4"/>
      <c r="I2" s="4"/>
    </row>
    <row r="3" spans="1:9" x14ac:dyDescent="0.25">
      <c r="A3" s="3"/>
      <c r="B3" s="3"/>
      <c r="C3" s="3"/>
    </row>
    <row r="4" spans="1:9" x14ac:dyDescent="0.25">
      <c r="B4" s="6" t="s">
        <v>2</v>
      </c>
      <c r="C4" t="s">
        <v>115</v>
      </c>
      <c r="H4" t="s">
        <v>116</v>
      </c>
    </row>
    <row r="5" spans="1:9" x14ac:dyDescent="0.25">
      <c r="B5" s="7" t="s">
        <v>7</v>
      </c>
      <c r="C5" s="8">
        <v>980289.89000000013</v>
      </c>
    </row>
    <row r="6" spans="1:9" x14ac:dyDescent="0.25">
      <c r="B6" s="7" t="s">
        <v>13</v>
      </c>
      <c r="C6" s="8">
        <v>770931.06</v>
      </c>
    </row>
    <row r="7" spans="1:9" x14ac:dyDescent="0.25">
      <c r="B7" s="7" t="s">
        <v>10</v>
      </c>
      <c r="C7" s="8">
        <v>727307.12</v>
      </c>
    </row>
    <row r="8" spans="1:9" x14ac:dyDescent="0.25">
      <c r="B8" s="7" t="s">
        <v>20</v>
      </c>
      <c r="C8" s="8">
        <v>703046.29999999993</v>
      </c>
    </row>
    <row r="9" spans="1:9" x14ac:dyDescent="0.25">
      <c r="B9" s="7" t="s">
        <v>47</v>
      </c>
      <c r="C9" s="8">
        <v>489142.87000000005</v>
      </c>
    </row>
    <row r="10" spans="1:9" x14ac:dyDescent="0.25">
      <c r="B10" s="7" t="s">
        <v>114</v>
      </c>
      <c r="C10" s="8">
        <v>3670717.24</v>
      </c>
    </row>
    <row r="12" spans="1:9" x14ac:dyDescent="0.25">
      <c r="B12" s="7" t="s">
        <v>130</v>
      </c>
    </row>
  </sheetData>
  <mergeCells count="1">
    <mergeCell ref="A1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F90849-63F1-4AB0-B294-F030BC1BF2D3}">
  <dimension ref="A1:G54"/>
  <sheetViews>
    <sheetView workbookViewId="0">
      <selection activeCell="F9" sqref="F9"/>
    </sheetView>
  </sheetViews>
  <sheetFormatPr defaultRowHeight="15" x14ac:dyDescent="0.25"/>
  <cols>
    <col min="2" max="2" width="19.140625" customWidth="1"/>
    <col min="3" max="3" width="12.28515625" bestFit="1" customWidth="1"/>
  </cols>
  <sheetData>
    <row r="1" spans="1:7" ht="18.75" x14ac:dyDescent="0.3">
      <c r="A1" s="9" t="s">
        <v>117</v>
      </c>
      <c r="B1" s="9"/>
      <c r="C1" s="9"/>
      <c r="D1" s="9"/>
      <c r="E1" s="9"/>
      <c r="F1" s="9"/>
      <c r="G1" s="9"/>
    </row>
    <row r="4" spans="1:7" x14ac:dyDescent="0.25">
      <c r="B4" s="10" t="s">
        <v>118</v>
      </c>
      <c r="C4" s="11" t="s">
        <v>4</v>
      </c>
      <c r="E4" s="12" t="s">
        <v>119</v>
      </c>
    </row>
    <row r="5" spans="1:7" x14ac:dyDescent="0.25">
      <c r="B5" s="2">
        <v>15</v>
      </c>
      <c r="C5" s="5">
        <v>85681.53</v>
      </c>
      <c r="E5">
        <f>ROUNDUP(CORREL(B5:B54,C5:C54),0)</f>
        <v>1</v>
      </c>
    </row>
    <row r="6" spans="1:7" x14ac:dyDescent="0.25">
      <c r="B6" s="2">
        <v>7</v>
      </c>
      <c r="C6" s="5">
        <v>49966.400000000001</v>
      </c>
    </row>
    <row r="7" spans="1:7" x14ac:dyDescent="0.25">
      <c r="B7" s="2">
        <v>12</v>
      </c>
      <c r="C7" s="5">
        <v>74380.210000000006</v>
      </c>
    </row>
    <row r="8" spans="1:7" x14ac:dyDescent="0.25">
      <c r="B8" s="2">
        <v>8</v>
      </c>
      <c r="C8" s="5">
        <v>64518.31</v>
      </c>
    </row>
    <row r="9" spans="1:7" x14ac:dyDescent="0.25">
      <c r="B9" s="2">
        <v>15</v>
      </c>
      <c r="C9" s="5">
        <v>83557.94</v>
      </c>
    </row>
    <row r="10" spans="1:7" x14ac:dyDescent="0.25">
      <c r="B10" s="2">
        <v>3</v>
      </c>
      <c r="C10" s="5">
        <v>43485.22</v>
      </c>
    </row>
    <row r="11" spans="1:7" x14ac:dyDescent="0.25">
      <c r="B11" s="2">
        <v>14</v>
      </c>
      <c r="C11" s="5">
        <v>74518.320000000007</v>
      </c>
    </row>
    <row r="12" spans="1:7" x14ac:dyDescent="0.25">
      <c r="B12" s="2">
        <v>17</v>
      </c>
      <c r="C12" s="5">
        <v>88940.06</v>
      </c>
    </row>
    <row r="13" spans="1:7" x14ac:dyDescent="0.25">
      <c r="B13" s="2">
        <v>4</v>
      </c>
      <c r="C13" s="5">
        <v>51344.71</v>
      </c>
    </row>
    <row r="14" spans="1:7" x14ac:dyDescent="0.25">
      <c r="B14" s="2">
        <v>18</v>
      </c>
      <c r="C14" s="5">
        <v>87380.51</v>
      </c>
    </row>
    <row r="15" spans="1:7" x14ac:dyDescent="0.25">
      <c r="B15" s="2">
        <v>8</v>
      </c>
      <c r="C15" s="5">
        <v>62750.03</v>
      </c>
    </row>
    <row r="16" spans="1:7" x14ac:dyDescent="0.25">
      <c r="B16" s="2">
        <v>4</v>
      </c>
      <c r="C16" s="5">
        <v>52632.58</v>
      </c>
    </row>
    <row r="17" spans="2:3" x14ac:dyDescent="0.25">
      <c r="B17" s="2">
        <v>2</v>
      </c>
      <c r="C17" s="5">
        <v>39289.43</v>
      </c>
    </row>
    <row r="18" spans="2:3" x14ac:dyDescent="0.25">
      <c r="B18" s="2">
        <v>6</v>
      </c>
      <c r="C18" s="5">
        <v>42578.559999999998</v>
      </c>
    </row>
    <row r="19" spans="2:3" x14ac:dyDescent="0.25">
      <c r="B19" s="2">
        <v>22</v>
      </c>
      <c r="C19" s="5">
        <v>108634.23</v>
      </c>
    </row>
    <row r="20" spans="2:3" x14ac:dyDescent="0.25">
      <c r="B20" s="2">
        <v>10</v>
      </c>
      <c r="C20" s="5">
        <v>64594.41</v>
      </c>
    </row>
    <row r="21" spans="2:3" x14ac:dyDescent="0.25">
      <c r="B21" s="2">
        <v>4</v>
      </c>
      <c r="C21" s="5">
        <v>46338.97</v>
      </c>
    </row>
    <row r="22" spans="2:3" x14ac:dyDescent="0.25">
      <c r="B22" s="2">
        <v>22</v>
      </c>
      <c r="C22" s="5">
        <v>110680.61</v>
      </c>
    </row>
    <row r="23" spans="2:3" x14ac:dyDescent="0.25">
      <c r="B23" s="2">
        <v>18</v>
      </c>
      <c r="C23" s="5">
        <v>89101.49</v>
      </c>
    </row>
    <row r="24" spans="2:3" x14ac:dyDescent="0.25">
      <c r="B24" s="2">
        <v>12</v>
      </c>
      <c r="C24" s="5">
        <v>67780.52</v>
      </c>
    </row>
    <row r="25" spans="2:3" x14ac:dyDescent="0.25">
      <c r="B25" s="2">
        <v>2</v>
      </c>
      <c r="C25" s="5">
        <v>36247.33</v>
      </c>
    </row>
    <row r="26" spans="2:3" x14ac:dyDescent="0.25">
      <c r="B26" s="2">
        <v>10</v>
      </c>
      <c r="C26" s="5">
        <v>60172.21</v>
      </c>
    </row>
    <row r="27" spans="2:3" x14ac:dyDescent="0.25">
      <c r="B27" s="2">
        <v>4</v>
      </c>
      <c r="C27" s="5">
        <v>44752.45</v>
      </c>
    </row>
    <row r="28" spans="2:3" x14ac:dyDescent="0.25">
      <c r="B28" s="2">
        <v>14</v>
      </c>
      <c r="C28" s="5">
        <v>78432.89</v>
      </c>
    </row>
    <row r="29" spans="2:3" x14ac:dyDescent="0.25">
      <c r="B29" s="2">
        <v>16</v>
      </c>
      <c r="C29" s="5">
        <v>99167.64</v>
      </c>
    </row>
    <row r="30" spans="2:3" x14ac:dyDescent="0.25">
      <c r="B30" s="2">
        <v>15</v>
      </c>
      <c r="C30" s="5">
        <v>77374.55</v>
      </c>
    </row>
    <row r="31" spans="2:3" x14ac:dyDescent="0.25">
      <c r="B31" s="2">
        <v>8</v>
      </c>
      <c r="C31" s="5">
        <v>54089.760000000002</v>
      </c>
    </row>
    <row r="32" spans="2:3" x14ac:dyDescent="0.25">
      <c r="B32" s="2">
        <v>14</v>
      </c>
      <c r="C32" s="5">
        <v>81119.72</v>
      </c>
    </row>
    <row r="33" spans="2:3" x14ac:dyDescent="0.25">
      <c r="B33" s="2">
        <v>23</v>
      </c>
      <c r="C33" s="5">
        <v>114863.53</v>
      </c>
    </row>
    <row r="34" spans="2:3" x14ac:dyDescent="0.25">
      <c r="B34" s="2">
        <v>8</v>
      </c>
      <c r="C34" s="5">
        <v>69436.13</v>
      </c>
    </row>
    <row r="35" spans="2:3" x14ac:dyDescent="0.25">
      <c r="B35" s="2">
        <v>21</v>
      </c>
      <c r="C35" s="5">
        <v>111614.6</v>
      </c>
    </row>
    <row r="36" spans="2:3" x14ac:dyDescent="0.25">
      <c r="B36" s="2">
        <v>16</v>
      </c>
      <c r="C36" s="5">
        <v>90118.67</v>
      </c>
    </row>
    <row r="37" spans="2:3" x14ac:dyDescent="0.25">
      <c r="B37" s="2">
        <v>13</v>
      </c>
      <c r="C37" s="5">
        <v>76965.3</v>
      </c>
    </row>
    <row r="38" spans="2:3" x14ac:dyDescent="0.25">
      <c r="B38" s="2">
        <v>18</v>
      </c>
      <c r="C38" s="5">
        <v>97483.15</v>
      </c>
    </row>
    <row r="39" spans="2:3" x14ac:dyDescent="0.25">
      <c r="B39" s="2">
        <v>15</v>
      </c>
      <c r="C39" s="5">
        <v>79448.39</v>
      </c>
    </row>
    <row r="40" spans="2:3" x14ac:dyDescent="0.25">
      <c r="B40" s="2">
        <v>21</v>
      </c>
      <c r="C40" s="5">
        <v>101919.17</v>
      </c>
    </row>
    <row r="41" spans="2:3" x14ac:dyDescent="0.25">
      <c r="B41" s="2">
        <v>24</v>
      </c>
      <c r="C41" s="5">
        <v>106587.88</v>
      </c>
    </row>
    <row r="42" spans="2:3" x14ac:dyDescent="0.25">
      <c r="B42" s="2">
        <v>13</v>
      </c>
      <c r="C42" s="5">
        <v>74355.759999999995</v>
      </c>
    </row>
    <row r="43" spans="2:3" x14ac:dyDescent="0.25">
      <c r="B43" s="2">
        <v>9</v>
      </c>
      <c r="C43" s="5">
        <v>66313.210000000006</v>
      </c>
    </row>
    <row r="44" spans="2:3" x14ac:dyDescent="0.25">
      <c r="B44" s="2">
        <v>15</v>
      </c>
      <c r="C44" s="5">
        <v>81451.539999999994</v>
      </c>
    </row>
    <row r="45" spans="2:3" x14ac:dyDescent="0.25">
      <c r="B45" s="2">
        <v>13</v>
      </c>
      <c r="C45" s="5">
        <v>71629.789999999994</v>
      </c>
    </row>
    <row r="46" spans="2:3" x14ac:dyDescent="0.25">
      <c r="B46" s="2">
        <v>1</v>
      </c>
      <c r="C46" s="5">
        <v>31701.11</v>
      </c>
    </row>
    <row r="47" spans="2:3" x14ac:dyDescent="0.25">
      <c r="B47" s="2">
        <v>7</v>
      </c>
      <c r="C47" s="5">
        <v>58120.42</v>
      </c>
    </row>
    <row r="48" spans="2:3" x14ac:dyDescent="0.25">
      <c r="B48" s="2">
        <v>9</v>
      </c>
      <c r="C48" s="5">
        <v>60221.18</v>
      </c>
    </row>
    <row r="49" spans="2:3" x14ac:dyDescent="0.25">
      <c r="B49" s="2">
        <v>24</v>
      </c>
      <c r="C49" s="5">
        <v>118249.61</v>
      </c>
    </row>
    <row r="50" spans="2:3" x14ac:dyDescent="0.25">
      <c r="B50" s="2">
        <v>1</v>
      </c>
      <c r="C50" s="5">
        <v>26943.38</v>
      </c>
    </row>
    <row r="51" spans="2:3" x14ac:dyDescent="0.25">
      <c r="B51" s="2">
        <v>12</v>
      </c>
      <c r="C51" s="5">
        <v>67648.479999999996</v>
      </c>
    </row>
    <row r="52" spans="2:3" x14ac:dyDescent="0.25">
      <c r="B52" s="2">
        <v>8</v>
      </c>
      <c r="C52" s="5">
        <v>55466.78</v>
      </c>
    </row>
    <row r="53" spans="2:3" x14ac:dyDescent="0.25">
      <c r="B53" s="2">
        <v>24</v>
      </c>
      <c r="C53" s="5">
        <v>107450.25</v>
      </c>
    </row>
    <row r="54" spans="2:3" x14ac:dyDescent="0.25">
      <c r="B54" s="2">
        <v>11</v>
      </c>
      <c r="C54" s="5">
        <v>83218.320000000007</v>
      </c>
    </row>
  </sheetData>
  <mergeCells count="1">
    <mergeCell ref="A1:G1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21AB1F-EA7E-43EC-B27B-AE9E2E972F53}">
  <dimension ref="B1:C6"/>
  <sheetViews>
    <sheetView workbookViewId="0">
      <selection activeCell="B6" sqref="B6"/>
    </sheetView>
  </sheetViews>
  <sheetFormatPr defaultRowHeight="15" x14ac:dyDescent="0.25"/>
  <cols>
    <col min="2" max="2" width="19.7109375" customWidth="1"/>
    <col min="3" max="3" width="13.42578125" bestFit="1" customWidth="1"/>
  </cols>
  <sheetData>
    <row r="1" spans="2:3" x14ac:dyDescent="0.25">
      <c r="B1" s="15" t="s">
        <v>129</v>
      </c>
    </row>
    <row r="2" spans="2:3" x14ac:dyDescent="0.25">
      <c r="B2" s="2" t="s">
        <v>126</v>
      </c>
      <c r="C2" s="16">
        <f>COUNTA(Dataset!A2:A51)</f>
        <v>50</v>
      </c>
    </row>
    <row r="3" spans="2:3" x14ac:dyDescent="0.25">
      <c r="B3" s="2" t="s">
        <v>127</v>
      </c>
      <c r="C3" s="5">
        <f>AVERAGE(Dataset!E2:E51)</f>
        <v>73414.344799999977</v>
      </c>
    </row>
    <row r="4" spans="2:3" x14ac:dyDescent="0.25">
      <c r="B4" s="2" t="s">
        <v>128</v>
      </c>
      <c r="C4" s="2">
        <f>AVERAGE(Dataset!D2:D51)</f>
        <v>12.2</v>
      </c>
    </row>
    <row r="6" spans="2:3" x14ac:dyDescent="0.25">
      <c r="B6" t="s">
        <v>131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EB177B-F704-4CCD-9325-8742D3691863}">
  <dimension ref="B1:F16"/>
  <sheetViews>
    <sheetView tabSelected="1" workbookViewId="0">
      <selection activeCell="E9" sqref="E9"/>
    </sheetView>
  </sheetViews>
  <sheetFormatPr defaultRowHeight="15" x14ac:dyDescent="0.25"/>
  <cols>
    <col min="2" max="2" width="55.42578125" customWidth="1"/>
  </cols>
  <sheetData>
    <row r="1" spans="2:6" ht="28.5" x14ac:dyDescent="0.45">
      <c r="B1" s="14" t="s">
        <v>120</v>
      </c>
      <c r="C1" s="13"/>
      <c r="D1" s="13"/>
      <c r="E1" s="13"/>
      <c r="F1" s="13"/>
    </row>
    <row r="3" spans="2:6" x14ac:dyDescent="0.25">
      <c r="B3" t="s">
        <v>121</v>
      </c>
    </row>
    <row r="4" spans="2:6" x14ac:dyDescent="0.25">
      <c r="B4" t="s">
        <v>122</v>
      </c>
    </row>
    <row r="5" spans="2:6" x14ac:dyDescent="0.25">
      <c r="B5" t="s">
        <v>123</v>
      </c>
    </row>
    <row r="6" spans="2:6" x14ac:dyDescent="0.25">
      <c r="B6" t="s">
        <v>124</v>
      </c>
    </row>
    <row r="16" spans="2:6" x14ac:dyDescent="0.25">
      <c r="B16" t="s">
        <v>125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Dataset</vt:lpstr>
      <vt:lpstr>Lookup Example</vt:lpstr>
      <vt:lpstr>Pivot &amp; Analysis</vt:lpstr>
      <vt:lpstr>Sheet1</vt:lpstr>
      <vt:lpstr>Sheet3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2026-04-06T11:08:36Z</dcterms:created>
  <dcterms:modified xsi:type="dcterms:W3CDTF">2026-04-06T17:18:39Z</dcterms:modified>
</cp:coreProperties>
</file>